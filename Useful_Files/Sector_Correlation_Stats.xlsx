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sktop PC\Desktop\ΣΤΥΛΙΑΝΟΣ_ΓΕΩΡΓΙΛΑΣ_ΔΙΠΛΩΜΑΤΙΚΗ_ΑΡΧΕΙΑ\Useful_Files\"/>
    </mc:Choice>
  </mc:AlternateContent>
  <xr:revisionPtr revIDLastSave="0" documentId="13_ncr:1_{12A229CC-9387-40E1-903C-2FD2A436232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All_Contingency_Counts" sheetId="1" r:id="rId1"/>
    <sheet name="ChiSquare_All" sheetId="2" r:id="rId2"/>
    <sheet name="Top100_Contingency_Counts" sheetId="4" r:id="rId3"/>
    <sheet name="ChiSquare_Top100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3" i="1" l="1"/>
  <c r="G34" i="1"/>
  <c r="G35" i="1"/>
  <c r="G36" i="1"/>
  <c r="G37" i="1"/>
  <c r="G38" i="1"/>
  <c r="G39" i="1"/>
  <c r="F33" i="1"/>
  <c r="F34" i="1"/>
  <c r="F35" i="1"/>
  <c r="F36" i="1"/>
  <c r="F37" i="1"/>
  <c r="F38" i="1"/>
  <c r="F39" i="1"/>
  <c r="E33" i="1"/>
  <c r="E34" i="1"/>
  <c r="E35" i="1"/>
  <c r="E36" i="1"/>
  <c r="E37" i="1"/>
  <c r="E38" i="1"/>
  <c r="E39" i="1"/>
  <c r="E32" i="1"/>
  <c r="F32" i="1"/>
  <c r="G32" i="1"/>
  <c r="D32" i="1"/>
  <c r="D33" i="1"/>
  <c r="D34" i="1"/>
  <c r="D35" i="1"/>
  <c r="D36" i="1"/>
  <c r="D37" i="1"/>
  <c r="D38" i="1"/>
  <c r="D39" i="1"/>
  <c r="D31" i="1"/>
  <c r="E31" i="1"/>
  <c r="F31" i="1"/>
  <c r="G31" i="1"/>
  <c r="B32" i="1"/>
  <c r="B33" i="1"/>
  <c r="B34" i="1"/>
  <c r="B35" i="1"/>
  <c r="B36" i="1"/>
  <c r="B37" i="1"/>
  <c r="B38" i="1"/>
  <c r="B39" i="1"/>
  <c r="B31" i="1"/>
  <c r="C32" i="1"/>
  <c r="C33" i="1"/>
  <c r="C34" i="1"/>
  <c r="C35" i="1"/>
  <c r="C36" i="1"/>
  <c r="C37" i="1"/>
  <c r="C38" i="1"/>
  <c r="C39" i="1"/>
  <c r="C31" i="1"/>
  <c r="N20" i="4"/>
  <c r="M20" i="4"/>
  <c r="O20" i="1"/>
  <c r="M16" i="4"/>
  <c r="G17" i="4"/>
  <c r="G18" i="4"/>
  <c r="G19" i="4"/>
  <c r="G20" i="4"/>
  <c r="G21" i="4"/>
  <c r="G22" i="4"/>
  <c r="G23" i="4"/>
  <c r="G24" i="4"/>
  <c r="F17" i="4"/>
  <c r="F18" i="4"/>
  <c r="F19" i="4"/>
  <c r="F20" i="4"/>
  <c r="F21" i="4"/>
  <c r="F22" i="4"/>
  <c r="F23" i="4"/>
  <c r="F24" i="4"/>
  <c r="E17" i="4"/>
  <c r="E18" i="4"/>
  <c r="E19" i="4"/>
  <c r="E20" i="4"/>
  <c r="E21" i="4"/>
  <c r="E22" i="4"/>
  <c r="E23" i="4"/>
  <c r="E24" i="4"/>
  <c r="D17" i="4"/>
  <c r="D18" i="4"/>
  <c r="D19" i="4"/>
  <c r="D20" i="4"/>
  <c r="D21" i="4"/>
  <c r="D22" i="4"/>
  <c r="D23" i="4"/>
  <c r="D24" i="4"/>
  <c r="C17" i="4"/>
  <c r="C18" i="4"/>
  <c r="C19" i="4"/>
  <c r="C20" i="4"/>
  <c r="C21" i="4"/>
  <c r="C22" i="4"/>
  <c r="C23" i="4"/>
  <c r="C24" i="4"/>
  <c r="C16" i="4"/>
  <c r="D16" i="4"/>
  <c r="E16" i="4"/>
  <c r="F16" i="4"/>
  <c r="G16" i="4"/>
  <c r="B17" i="4"/>
  <c r="B18" i="4"/>
  <c r="B19" i="4"/>
  <c r="B20" i="4"/>
  <c r="B21" i="4"/>
  <c r="B22" i="4"/>
  <c r="B23" i="4"/>
  <c r="B24" i="4"/>
  <c r="B16" i="4"/>
  <c r="H11" i="4"/>
  <c r="C11" i="4"/>
  <c r="D11" i="4"/>
  <c r="E11" i="4"/>
  <c r="F11" i="4"/>
  <c r="G11" i="4"/>
  <c r="B11" i="4"/>
  <c r="H3" i="4"/>
  <c r="H4" i="4"/>
  <c r="H5" i="4"/>
  <c r="H6" i="4"/>
  <c r="H7" i="4"/>
  <c r="H8" i="4"/>
  <c r="H9" i="4"/>
  <c r="H10" i="4"/>
  <c r="H2" i="4"/>
  <c r="N20" i="1"/>
  <c r="N16" i="1"/>
  <c r="G17" i="1"/>
  <c r="G18" i="1"/>
  <c r="G19" i="1"/>
  <c r="G20" i="1"/>
  <c r="G21" i="1"/>
  <c r="G22" i="1"/>
  <c r="G23" i="1"/>
  <c r="G24" i="1"/>
  <c r="F17" i="1"/>
  <c r="F18" i="1"/>
  <c r="F19" i="1"/>
  <c r="F20" i="1"/>
  <c r="F21" i="1"/>
  <c r="F22" i="1"/>
  <c r="F23" i="1"/>
  <c r="F24" i="1"/>
  <c r="E17" i="1"/>
  <c r="E18" i="1"/>
  <c r="E19" i="1"/>
  <c r="E20" i="1"/>
  <c r="E21" i="1"/>
  <c r="E22" i="1"/>
  <c r="E23" i="1"/>
  <c r="E24" i="1"/>
  <c r="D17" i="1"/>
  <c r="D18" i="1"/>
  <c r="D19" i="1"/>
  <c r="D20" i="1"/>
  <c r="D21" i="1"/>
  <c r="D22" i="1"/>
  <c r="D23" i="1"/>
  <c r="D24" i="1"/>
  <c r="C17" i="1"/>
  <c r="C18" i="1"/>
  <c r="C19" i="1"/>
  <c r="C20" i="1"/>
  <c r="C21" i="1"/>
  <c r="C22" i="1"/>
  <c r="C23" i="1"/>
  <c r="C24" i="1"/>
  <c r="C16" i="1"/>
  <c r="D16" i="1"/>
  <c r="E16" i="1"/>
  <c r="F16" i="1"/>
  <c r="G16" i="1"/>
  <c r="B17" i="1"/>
  <c r="B18" i="1"/>
  <c r="B19" i="1"/>
  <c r="B20" i="1"/>
  <c r="B21" i="1"/>
  <c r="B22" i="1"/>
  <c r="B23" i="1"/>
  <c r="B24" i="1"/>
  <c r="B16" i="1"/>
  <c r="C11" i="1"/>
  <c r="D11" i="1"/>
  <c r="E11" i="1"/>
  <c r="F11" i="1"/>
  <c r="G11" i="1"/>
  <c r="H11" i="1"/>
  <c r="B11" i="1"/>
  <c r="H3" i="1"/>
  <c r="H4" i="1"/>
  <c r="H5" i="1"/>
  <c r="H6" i="1"/>
  <c r="H7" i="1"/>
  <c r="H8" i="1"/>
  <c r="H9" i="1"/>
  <c r="H10" i="1"/>
  <c r="H2" i="1"/>
</calcChain>
</file>

<file path=xl/sharedStrings.xml><?xml version="1.0" encoding="utf-8"?>
<sst xmlns="http://schemas.openxmlformats.org/spreadsheetml/2006/main" count="134" uniqueCount="26">
  <si>
    <t>Consulting Services</t>
  </si>
  <si>
    <t>Energy &amp; Utilities</t>
  </si>
  <si>
    <t>Finance</t>
  </si>
  <si>
    <t>Healthcare &amp; Pharma</t>
  </si>
  <si>
    <t>Law &amp; Legal</t>
  </si>
  <si>
    <t>Technology</t>
  </si>
  <si>
    <t>type</t>
  </si>
  <si>
    <t>Agile/Methodology</t>
  </si>
  <si>
    <t>Analytical</t>
  </si>
  <si>
    <t>Broad-Scope</t>
  </si>
  <si>
    <t>Compliance</t>
  </si>
  <si>
    <t>Investigative</t>
  </si>
  <si>
    <t>Law/Regulatory</t>
  </si>
  <si>
    <t>Legal/Regulatory</t>
  </si>
  <si>
    <t>Policy-Focused</t>
  </si>
  <si>
    <t>Technical</t>
  </si>
  <si>
    <t>stat</t>
  </si>
  <si>
    <t>value</t>
  </si>
  <si>
    <t>chi2</t>
  </si>
  <si>
    <t>p_value</t>
  </si>
  <si>
    <t>dof</t>
  </si>
  <si>
    <t>cramers_v</t>
  </si>
  <si>
    <t>n</t>
  </si>
  <si>
    <t>x^2</t>
  </si>
  <si>
    <t>df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</si>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</sst>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T39"/>
  <sheetViews>
    <sheetView tabSelected="1" topLeftCell="A11" workbookViewId="0">
      <selection activeCell="G44" sqref="G44"/>
    </sheetView>
  </sheetViews>
  <sheetFormatPr defaultRowHeight="15" x14ac:dyDescent="0.25"/>
  <cols>
    <col min="1" max="1" width="18.5703125" customWidth="1"/>
    <col min="9" max="9" width="11" bestFit="1" customWidth="1"/>
    <col min="10" max="10" width="18.140625" customWidth="1"/>
    <col min="11" max="11" width="12.85546875" customWidth="1"/>
    <col min="14" max="14" width="27" customWidth="1"/>
    <col min="15" max="15" width="14.5703125" customWidth="1"/>
    <col min="16" max="16" width="10" bestFit="1" customWidth="1"/>
    <col min="17" max="17" width="15.85546875" customWidth="1"/>
    <col min="20" max="20" width="10" bestFit="1" customWidth="1"/>
  </cols>
  <sheetData>
    <row r="1" spans="1:20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N1" s="1" t="s">
        <v>6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</row>
    <row r="2" spans="1:20" x14ac:dyDescent="0.25">
      <c r="A2" s="1" t="s">
        <v>7</v>
      </c>
      <c r="B2">
        <v>500</v>
      </c>
      <c r="C2">
        <v>63</v>
      </c>
      <c r="D2">
        <v>851</v>
      </c>
      <c r="E2">
        <v>121</v>
      </c>
      <c r="F2">
        <v>51</v>
      </c>
      <c r="G2">
        <v>555</v>
      </c>
      <c r="H2">
        <f>SUM(B2:G2)</f>
        <v>2141</v>
      </c>
      <c r="N2" s="1" t="s">
        <v>7</v>
      </c>
      <c r="O2">
        <v>356</v>
      </c>
      <c r="P2">
        <v>356</v>
      </c>
      <c r="Q2">
        <v>356</v>
      </c>
      <c r="R2">
        <v>356</v>
      </c>
      <c r="S2">
        <v>356</v>
      </c>
      <c r="T2">
        <v>356</v>
      </c>
    </row>
    <row r="3" spans="1:20" x14ac:dyDescent="0.25">
      <c r="A3" s="1" t="s">
        <v>8</v>
      </c>
      <c r="B3">
        <v>7579</v>
      </c>
      <c r="C3">
        <v>1133</v>
      </c>
      <c r="D3">
        <v>25625</v>
      </c>
      <c r="E3">
        <v>2872</v>
      </c>
      <c r="F3">
        <v>1365</v>
      </c>
      <c r="G3">
        <v>10388</v>
      </c>
      <c r="H3">
        <f t="shared" ref="H3:H10" si="0">SUM(B3:G3)</f>
        <v>48962</v>
      </c>
      <c r="N3" s="1" t="s">
        <v>8</v>
      </c>
      <c r="O3">
        <v>8160</v>
      </c>
      <c r="P3">
        <v>8160</v>
      </c>
      <c r="Q3">
        <v>8160</v>
      </c>
      <c r="R3">
        <v>8160</v>
      </c>
      <c r="S3">
        <v>8160</v>
      </c>
      <c r="T3">
        <v>8160</v>
      </c>
    </row>
    <row r="4" spans="1:20" x14ac:dyDescent="0.25">
      <c r="A4" s="1" t="s">
        <v>9</v>
      </c>
      <c r="B4">
        <v>1752</v>
      </c>
      <c r="C4">
        <v>285</v>
      </c>
      <c r="D4">
        <v>6829</v>
      </c>
      <c r="E4">
        <v>1364</v>
      </c>
      <c r="F4">
        <v>597</v>
      </c>
      <c r="G4">
        <v>3778</v>
      </c>
      <c r="H4">
        <f t="shared" si="0"/>
        <v>14605</v>
      </c>
      <c r="N4" s="1" t="s">
        <v>9</v>
      </c>
      <c r="O4">
        <v>2434</v>
      </c>
      <c r="P4">
        <v>2434</v>
      </c>
      <c r="Q4">
        <v>2434</v>
      </c>
      <c r="R4">
        <v>2434</v>
      </c>
      <c r="S4">
        <v>2434</v>
      </c>
      <c r="T4">
        <v>2434</v>
      </c>
    </row>
    <row r="5" spans="1:20" x14ac:dyDescent="0.25">
      <c r="A5" s="1" t="s">
        <v>10</v>
      </c>
      <c r="B5">
        <v>1362</v>
      </c>
      <c r="C5">
        <v>216</v>
      </c>
      <c r="D5">
        <v>4596</v>
      </c>
      <c r="E5">
        <v>687</v>
      </c>
      <c r="F5">
        <v>326</v>
      </c>
      <c r="G5">
        <v>1952</v>
      </c>
      <c r="H5">
        <f t="shared" si="0"/>
        <v>9139</v>
      </c>
      <c r="N5" s="1" t="s">
        <v>10</v>
      </c>
      <c r="O5">
        <v>1523</v>
      </c>
      <c r="P5">
        <v>1523</v>
      </c>
      <c r="Q5">
        <v>1523</v>
      </c>
      <c r="R5">
        <v>1523</v>
      </c>
      <c r="S5">
        <v>1523</v>
      </c>
      <c r="T5">
        <v>1523</v>
      </c>
    </row>
    <row r="6" spans="1:20" x14ac:dyDescent="0.25">
      <c r="A6" s="1" t="s">
        <v>11</v>
      </c>
      <c r="B6">
        <v>396</v>
      </c>
      <c r="C6">
        <v>17</v>
      </c>
      <c r="D6">
        <v>2339</v>
      </c>
      <c r="E6">
        <v>89</v>
      </c>
      <c r="F6">
        <v>198</v>
      </c>
      <c r="G6">
        <v>612</v>
      </c>
      <c r="H6">
        <f t="shared" si="0"/>
        <v>3651</v>
      </c>
      <c r="N6" s="1" t="s">
        <v>11</v>
      </c>
      <c r="O6">
        <v>608</v>
      </c>
      <c r="P6">
        <v>608</v>
      </c>
      <c r="Q6">
        <v>608</v>
      </c>
      <c r="R6">
        <v>608</v>
      </c>
      <c r="S6">
        <v>608</v>
      </c>
      <c r="T6">
        <v>608</v>
      </c>
    </row>
    <row r="7" spans="1:20" x14ac:dyDescent="0.25">
      <c r="A7" s="1" t="s">
        <v>12</v>
      </c>
      <c r="B7">
        <v>125</v>
      </c>
      <c r="C7">
        <v>18</v>
      </c>
      <c r="D7">
        <v>372</v>
      </c>
      <c r="E7">
        <v>118</v>
      </c>
      <c r="F7">
        <v>33</v>
      </c>
      <c r="G7">
        <v>107</v>
      </c>
      <c r="H7">
        <f t="shared" si="0"/>
        <v>773</v>
      </c>
      <c r="N7" s="1" t="s">
        <v>12</v>
      </c>
      <c r="O7">
        <v>128</v>
      </c>
      <c r="P7">
        <v>128</v>
      </c>
      <c r="Q7">
        <v>128</v>
      </c>
      <c r="R7">
        <v>128</v>
      </c>
      <c r="S7">
        <v>128</v>
      </c>
      <c r="T7">
        <v>128</v>
      </c>
    </row>
    <row r="8" spans="1:20" x14ac:dyDescent="0.25">
      <c r="A8" s="1" t="s">
        <v>13</v>
      </c>
      <c r="B8">
        <v>1405</v>
      </c>
      <c r="C8">
        <v>258</v>
      </c>
      <c r="D8">
        <v>4541</v>
      </c>
      <c r="E8">
        <v>788</v>
      </c>
      <c r="F8">
        <v>598</v>
      </c>
      <c r="G8">
        <v>2460</v>
      </c>
      <c r="H8">
        <f t="shared" si="0"/>
        <v>10050</v>
      </c>
      <c r="N8" s="1" t="s">
        <v>13</v>
      </c>
      <c r="O8">
        <v>1675</v>
      </c>
      <c r="P8">
        <v>1675</v>
      </c>
      <c r="Q8">
        <v>1675</v>
      </c>
      <c r="R8">
        <v>1675</v>
      </c>
      <c r="S8">
        <v>1675</v>
      </c>
      <c r="T8">
        <v>1675</v>
      </c>
    </row>
    <row r="9" spans="1:20" x14ac:dyDescent="0.25">
      <c r="A9" s="1" t="s">
        <v>14</v>
      </c>
      <c r="B9">
        <v>3264</v>
      </c>
      <c r="C9">
        <v>398</v>
      </c>
      <c r="D9">
        <v>10795</v>
      </c>
      <c r="E9">
        <v>1496</v>
      </c>
      <c r="F9">
        <v>681</v>
      </c>
      <c r="G9">
        <v>4583</v>
      </c>
      <c r="H9">
        <f t="shared" si="0"/>
        <v>21217</v>
      </c>
      <c r="N9" s="1" t="s">
        <v>14</v>
      </c>
      <c r="O9">
        <v>3536</v>
      </c>
      <c r="P9">
        <v>3536</v>
      </c>
      <c r="Q9">
        <v>3536</v>
      </c>
      <c r="R9">
        <v>3536</v>
      </c>
      <c r="S9">
        <v>3536</v>
      </c>
      <c r="T9">
        <v>3536</v>
      </c>
    </row>
    <row r="10" spans="1:20" x14ac:dyDescent="0.25">
      <c r="A10" s="1" t="s">
        <v>15</v>
      </c>
      <c r="B10">
        <v>18671</v>
      </c>
      <c r="C10">
        <v>2901</v>
      </c>
      <c r="D10">
        <v>49437</v>
      </c>
      <c r="E10">
        <v>8449</v>
      </c>
      <c r="F10">
        <v>3769</v>
      </c>
      <c r="G10">
        <v>28568</v>
      </c>
      <c r="H10">
        <f t="shared" si="0"/>
        <v>111795</v>
      </c>
      <c r="N10" s="1" t="s">
        <v>15</v>
      </c>
      <c r="O10">
        <v>18632</v>
      </c>
      <c r="P10">
        <v>18632</v>
      </c>
      <c r="Q10">
        <v>18632</v>
      </c>
      <c r="R10">
        <v>18632</v>
      </c>
      <c r="S10">
        <v>18632</v>
      </c>
      <c r="T10">
        <v>18632</v>
      </c>
    </row>
    <row r="11" spans="1:20" x14ac:dyDescent="0.25">
      <c r="B11">
        <f>SUM(B2:B10)</f>
        <v>35054</v>
      </c>
      <c r="C11">
        <f t="shared" ref="C11:H11" si="1">SUM(C2:C10)</f>
        <v>5289</v>
      </c>
      <c r="D11">
        <f t="shared" si="1"/>
        <v>105385</v>
      </c>
      <c r="E11">
        <f t="shared" si="1"/>
        <v>15984</v>
      </c>
      <c r="F11">
        <f t="shared" si="1"/>
        <v>7618</v>
      </c>
      <c r="G11">
        <f t="shared" si="1"/>
        <v>53003</v>
      </c>
      <c r="H11">
        <f t="shared" si="1"/>
        <v>222333</v>
      </c>
    </row>
    <row r="15" spans="1:20" x14ac:dyDescent="0.25">
      <c r="A15" s="1" t="s">
        <v>6</v>
      </c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</row>
    <row r="16" spans="1:20" x14ac:dyDescent="0.25">
      <c r="A16" s="1" t="s">
        <v>7</v>
      </c>
      <c r="B16">
        <f>(B2-O2)^2/O2</f>
        <v>58.247191011235955</v>
      </c>
      <c r="C16">
        <f t="shared" ref="C16:G24" si="2">(C2-P2)^2/P2</f>
        <v>241.14887640449439</v>
      </c>
      <c r="D16">
        <f t="shared" si="2"/>
        <v>688.27247191011236</v>
      </c>
      <c r="E16">
        <f t="shared" si="2"/>
        <v>155.12640449438203</v>
      </c>
      <c r="F16">
        <f t="shared" si="2"/>
        <v>261.3061797752809</v>
      </c>
      <c r="G16">
        <f t="shared" si="2"/>
        <v>111.23876404494382</v>
      </c>
      <c r="M16" t="s">
        <v>23</v>
      </c>
      <c r="N16">
        <f>SUM(B16:G24)</f>
        <v>199204.93787920845</v>
      </c>
    </row>
    <row r="17" spans="1:16" x14ac:dyDescent="0.25">
      <c r="A17" s="1" t="s">
        <v>8</v>
      </c>
      <c r="B17">
        <f t="shared" ref="B17:B24" si="3">(B3-O3)^2/O3</f>
        <v>41.367769607843137</v>
      </c>
      <c r="C17">
        <f t="shared" si="2"/>
        <v>6051.3148284313729</v>
      </c>
      <c r="D17">
        <f t="shared" si="2"/>
        <v>37380.664828431371</v>
      </c>
      <c r="E17">
        <f t="shared" si="2"/>
        <v>3426.8313725490198</v>
      </c>
      <c r="F17">
        <f t="shared" si="2"/>
        <v>5658.3363970588234</v>
      </c>
      <c r="G17">
        <f t="shared" si="2"/>
        <v>608.33137254901965</v>
      </c>
      <c r="M17" t="s">
        <v>24</v>
      </c>
      <c r="N17">
        <v>40</v>
      </c>
    </row>
    <row r="18" spans="1:16" x14ac:dyDescent="0.25">
      <c r="A18" s="1" t="s">
        <v>9</v>
      </c>
      <c r="B18">
        <f t="shared" si="3"/>
        <v>191.09449465899755</v>
      </c>
      <c r="C18">
        <f t="shared" si="2"/>
        <v>1897.3709942481512</v>
      </c>
      <c r="D18">
        <f t="shared" si="2"/>
        <v>7935.9182415776504</v>
      </c>
      <c r="E18">
        <f t="shared" si="2"/>
        <v>470.37797863599013</v>
      </c>
      <c r="F18">
        <f t="shared" si="2"/>
        <v>1386.4293344289235</v>
      </c>
      <c r="G18">
        <f t="shared" si="2"/>
        <v>742.12654067378799</v>
      </c>
      <c r="M18" t="s">
        <v>22</v>
      </c>
      <c r="N18">
        <v>222333</v>
      </c>
    </row>
    <row r="19" spans="1:16" x14ac:dyDescent="0.25">
      <c r="A19" s="1" t="s">
        <v>10</v>
      </c>
      <c r="B19">
        <f t="shared" si="3"/>
        <v>17.019697964543663</v>
      </c>
      <c r="C19">
        <f t="shared" si="2"/>
        <v>1121.634274458306</v>
      </c>
      <c r="D19">
        <f t="shared" si="2"/>
        <v>6200.4786605384106</v>
      </c>
      <c r="E19">
        <f t="shared" si="2"/>
        <v>458.89428759028232</v>
      </c>
      <c r="F19">
        <f t="shared" si="2"/>
        <v>940.78069599474725</v>
      </c>
      <c r="G19">
        <f t="shared" si="2"/>
        <v>120.84110308601444</v>
      </c>
    </row>
    <row r="20" spans="1:16" x14ac:dyDescent="0.25">
      <c r="A20" s="1" t="s">
        <v>11</v>
      </c>
      <c r="B20">
        <f t="shared" si="3"/>
        <v>73.921052631578945</v>
      </c>
      <c r="C20">
        <f t="shared" si="2"/>
        <v>574.47532894736844</v>
      </c>
      <c r="D20">
        <f t="shared" si="2"/>
        <v>4928.2253289473683</v>
      </c>
      <c r="E20">
        <f t="shared" si="2"/>
        <v>443.02796052631578</v>
      </c>
      <c r="F20">
        <f t="shared" si="2"/>
        <v>276.48026315789474</v>
      </c>
      <c r="G20">
        <f t="shared" si="2"/>
        <v>2.6315789473684209E-2</v>
      </c>
      <c r="M20" t="s">
        <v>25</v>
      </c>
      <c r="N20">
        <f>N16/(N18*5)</f>
        <v>0.17919511532629745</v>
      </c>
      <c r="O20">
        <f>SQRT(N20)</f>
        <v>0.42331444025251186</v>
      </c>
    </row>
    <row r="21" spans="1:16" x14ac:dyDescent="0.25">
      <c r="A21" s="1" t="s">
        <v>12</v>
      </c>
      <c r="B21">
        <f t="shared" si="3"/>
        <v>7.03125E-2</v>
      </c>
      <c r="C21">
        <f t="shared" si="2"/>
        <v>94.53125</v>
      </c>
      <c r="D21">
        <f t="shared" si="2"/>
        <v>465.125</v>
      </c>
      <c r="E21">
        <f t="shared" si="2"/>
        <v>0.78125</v>
      </c>
      <c r="F21">
        <f t="shared" si="2"/>
        <v>70.5078125</v>
      </c>
      <c r="G21">
        <f t="shared" si="2"/>
        <v>3.4453125</v>
      </c>
    </row>
    <row r="22" spans="1:16" x14ac:dyDescent="0.25">
      <c r="A22" s="1" t="s">
        <v>13</v>
      </c>
      <c r="B22">
        <f t="shared" si="3"/>
        <v>43.522388059701491</v>
      </c>
      <c r="C22">
        <f t="shared" si="2"/>
        <v>1198.7397014925373</v>
      </c>
      <c r="D22">
        <f t="shared" si="2"/>
        <v>4903.8543283582094</v>
      </c>
      <c r="E22">
        <f t="shared" si="2"/>
        <v>469.71283582089552</v>
      </c>
      <c r="F22">
        <f t="shared" si="2"/>
        <v>692.49492537313438</v>
      </c>
      <c r="G22">
        <f t="shared" si="2"/>
        <v>367.8955223880597</v>
      </c>
    </row>
    <row r="23" spans="1:16" x14ac:dyDescent="0.25">
      <c r="A23" s="1" t="s">
        <v>14</v>
      </c>
      <c r="B23">
        <f t="shared" si="3"/>
        <v>20.923076923076923</v>
      </c>
      <c r="C23">
        <f t="shared" si="2"/>
        <v>2784.797511312217</v>
      </c>
      <c r="D23">
        <f t="shared" si="2"/>
        <v>14901.889423076924</v>
      </c>
      <c r="E23">
        <f t="shared" si="2"/>
        <v>1176.9230769230769</v>
      </c>
      <c r="F23">
        <f t="shared" si="2"/>
        <v>2305.154128959276</v>
      </c>
      <c r="G23">
        <f t="shared" si="2"/>
        <v>310.01385746606337</v>
      </c>
    </row>
    <row r="24" spans="1:16" x14ac:dyDescent="0.25">
      <c r="A24" s="1" t="s">
        <v>15</v>
      </c>
      <c r="B24">
        <f t="shared" si="3"/>
        <v>8.1633748389866895E-2</v>
      </c>
      <c r="C24">
        <f t="shared" si="2"/>
        <v>13281.685326320308</v>
      </c>
      <c r="D24">
        <f t="shared" si="2"/>
        <v>50931.087644911982</v>
      </c>
      <c r="E24">
        <f t="shared" si="2"/>
        <v>5565.3439781021898</v>
      </c>
      <c r="F24">
        <f t="shared" si="2"/>
        <v>11856.417400171747</v>
      </c>
      <c r="G24">
        <f t="shared" si="2"/>
        <v>5298.6311721768998</v>
      </c>
    </row>
    <row r="30" spans="1:16" x14ac:dyDescent="0.25">
      <c r="A30" s="1" t="s">
        <v>6</v>
      </c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J30" s="1"/>
      <c r="K30" s="1"/>
      <c r="L30" s="1"/>
      <c r="M30" s="1"/>
      <c r="N30" s="1"/>
      <c r="O30" s="1"/>
      <c r="P30" s="1"/>
    </row>
    <row r="31" spans="1:16" x14ac:dyDescent="0.25">
      <c r="A31" s="1" t="s">
        <v>7</v>
      </c>
      <c r="B31">
        <f>B2-O2</f>
        <v>144</v>
      </c>
      <c r="C31">
        <f>C2-P2</f>
        <v>-293</v>
      </c>
      <c r="D31">
        <f t="shared" ref="D31:G39" si="4">D2-Q2</f>
        <v>495</v>
      </c>
      <c r="E31">
        <f t="shared" si="4"/>
        <v>-235</v>
      </c>
      <c r="F31">
        <f t="shared" si="4"/>
        <v>-305</v>
      </c>
      <c r="G31">
        <f t="shared" si="4"/>
        <v>199</v>
      </c>
      <c r="J31" s="1"/>
    </row>
    <row r="32" spans="1:16" x14ac:dyDescent="0.25">
      <c r="A32" s="1" t="s">
        <v>8</v>
      </c>
      <c r="B32">
        <f t="shared" ref="B32:B39" si="5">B3-O3</f>
        <v>-581</v>
      </c>
      <c r="C32">
        <f t="shared" ref="C32:C39" si="6">C3-P3</f>
        <v>-7027</v>
      </c>
      <c r="D32">
        <f t="shared" si="4"/>
        <v>17465</v>
      </c>
      <c r="E32">
        <f t="shared" ref="E32:E39" si="7">E3-R3</f>
        <v>-5288</v>
      </c>
      <c r="F32">
        <f t="shared" ref="F32:F39" si="8">F3-S3</f>
        <v>-6795</v>
      </c>
      <c r="G32">
        <f t="shared" ref="G32:G39" si="9">G3-T3</f>
        <v>2228</v>
      </c>
      <c r="J32" s="1"/>
    </row>
    <row r="33" spans="1:10" x14ac:dyDescent="0.25">
      <c r="A33" s="1" t="s">
        <v>9</v>
      </c>
      <c r="B33">
        <f t="shared" si="5"/>
        <v>-682</v>
      </c>
      <c r="C33">
        <f t="shared" si="6"/>
        <v>-2149</v>
      </c>
      <c r="D33">
        <f t="shared" si="4"/>
        <v>4395</v>
      </c>
      <c r="E33">
        <f t="shared" si="7"/>
        <v>-1070</v>
      </c>
      <c r="F33">
        <f t="shared" si="8"/>
        <v>-1837</v>
      </c>
      <c r="G33">
        <f t="shared" si="9"/>
        <v>1344</v>
      </c>
      <c r="J33" s="1"/>
    </row>
    <row r="34" spans="1:10" x14ac:dyDescent="0.25">
      <c r="A34" s="1" t="s">
        <v>10</v>
      </c>
      <c r="B34">
        <f t="shared" si="5"/>
        <v>-161</v>
      </c>
      <c r="C34">
        <f t="shared" si="6"/>
        <v>-1307</v>
      </c>
      <c r="D34">
        <f t="shared" si="4"/>
        <v>3073</v>
      </c>
      <c r="E34">
        <f t="shared" si="7"/>
        <v>-836</v>
      </c>
      <c r="F34">
        <f t="shared" si="8"/>
        <v>-1197</v>
      </c>
      <c r="G34">
        <f t="shared" si="9"/>
        <v>429</v>
      </c>
      <c r="J34" s="1"/>
    </row>
    <row r="35" spans="1:10" x14ac:dyDescent="0.25">
      <c r="A35" s="1" t="s">
        <v>11</v>
      </c>
      <c r="B35">
        <f t="shared" si="5"/>
        <v>-212</v>
      </c>
      <c r="C35">
        <f t="shared" si="6"/>
        <v>-591</v>
      </c>
      <c r="D35">
        <f t="shared" si="4"/>
        <v>1731</v>
      </c>
      <c r="E35">
        <f t="shared" si="7"/>
        <v>-519</v>
      </c>
      <c r="F35">
        <f t="shared" si="8"/>
        <v>-410</v>
      </c>
      <c r="G35">
        <f t="shared" si="9"/>
        <v>4</v>
      </c>
      <c r="J35" s="1"/>
    </row>
    <row r="36" spans="1:10" x14ac:dyDescent="0.25">
      <c r="A36" s="1" t="s">
        <v>12</v>
      </c>
      <c r="B36">
        <f t="shared" si="5"/>
        <v>-3</v>
      </c>
      <c r="C36">
        <f t="shared" si="6"/>
        <v>-110</v>
      </c>
      <c r="D36">
        <f t="shared" si="4"/>
        <v>244</v>
      </c>
      <c r="E36">
        <f t="shared" si="7"/>
        <v>-10</v>
      </c>
      <c r="F36">
        <f t="shared" si="8"/>
        <v>-95</v>
      </c>
      <c r="G36">
        <f t="shared" si="9"/>
        <v>-21</v>
      </c>
      <c r="J36" s="1"/>
    </row>
    <row r="37" spans="1:10" x14ac:dyDescent="0.25">
      <c r="A37" s="1" t="s">
        <v>13</v>
      </c>
      <c r="B37">
        <f t="shared" si="5"/>
        <v>-270</v>
      </c>
      <c r="C37">
        <f t="shared" si="6"/>
        <v>-1417</v>
      </c>
      <c r="D37">
        <f t="shared" si="4"/>
        <v>2866</v>
      </c>
      <c r="E37">
        <f t="shared" si="7"/>
        <v>-887</v>
      </c>
      <c r="F37">
        <f t="shared" si="8"/>
        <v>-1077</v>
      </c>
      <c r="G37">
        <f t="shared" si="9"/>
        <v>785</v>
      </c>
      <c r="J37" s="1"/>
    </row>
    <row r="38" spans="1:10" x14ac:dyDescent="0.25">
      <c r="A38" s="1" t="s">
        <v>14</v>
      </c>
      <c r="B38">
        <f t="shared" si="5"/>
        <v>-272</v>
      </c>
      <c r="C38">
        <f t="shared" si="6"/>
        <v>-3138</v>
      </c>
      <c r="D38">
        <f t="shared" si="4"/>
        <v>7259</v>
      </c>
      <c r="E38">
        <f t="shared" si="7"/>
        <v>-2040</v>
      </c>
      <c r="F38">
        <f t="shared" si="8"/>
        <v>-2855</v>
      </c>
      <c r="G38">
        <f t="shared" si="9"/>
        <v>1047</v>
      </c>
      <c r="J38" s="1"/>
    </row>
    <row r="39" spans="1:10" x14ac:dyDescent="0.25">
      <c r="A39" s="1" t="s">
        <v>15</v>
      </c>
      <c r="B39">
        <f t="shared" si="5"/>
        <v>39</v>
      </c>
      <c r="C39">
        <f t="shared" si="6"/>
        <v>-15731</v>
      </c>
      <c r="D39">
        <f t="shared" si="4"/>
        <v>30805</v>
      </c>
      <c r="E39">
        <f t="shared" si="7"/>
        <v>-10183</v>
      </c>
      <c r="F39">
        <f t="shared" si="8"/>
        <v>-14863</v>
      </c>
      <c r="G39">
        <f t="shared" si="9"/>
        <v>9936</v>
      </c>
      <c r="J3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6"/>
  <sheetViews>
    <sheetView workbookViewId="0">
      <selection activeCell="H26" sqref="H26"/>
    </sheetView>
  </sheetViews>
  <sheetFormatPr defaultRowHeight="15" x14ac:dyDescent="0.25"/>
  <cols>
    <col min="2" max="2" width="22.7109375" customWidth="1"/>
  </cols>
  <sheetData>
    <row r="1" spans="1:2" x14ac:dyDescent="0.25">
      <c r="A1" s="1" t="s">
        <v>16</v>
      </c>
      <c r="B1" s="1" t="s">
        <v>17</v>
      </c>
    </row>
    <row r="2" spans="1:2" x14ac:dyDescent="0.25">
      <c r="A2" t="s">
        <v>18</v>
      </c>
      <c r="B2">
        <v>199204.93787920845</v>
      </c>
    </row>
    <row r="3" spans="1:2" x14ac:dyDescent="0.25">
      <c r="A3" t="s">
        <v>19</v>
      </c>
      <c r="B3">
        <v>0</v>
      </c>
    </row>
    <row r="4" spans="1:2" x14ac:dyDescent="0.25">
      <c r="A4" t="s">
        <v>20</v>
      </c>
      <c r="B4">
        <v>40</v>
      </c>
    </row>
    <row r="5" spans="1:2" x14ac:dyDescent="0.25">
      <c r="A5" t="s">
        <v>21</v>
      </c>
      <c r="B5">
        <v>0.42331444025251186</v>
      </c>
    </row>
    <row r="6" spans="1:2" x14ac:dyDescent="0.25">
      <c r="A6" t="s">
        <v>22</v>
      </c>
      <c r="B6">
        <v>222333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R24"/>
  <sheetViews>
    <sheetView workbookViewId="0">
      <selection activeCell="G24" sqref="G24"/>
    </sheetView>
  </sheetViews>
  <sheetFormatPr defaultRowHeight="15" x14ac:dyDescent="0.25"/>
  <cols>
    <col min="1" max="1" width="21.140625" customWidth="1"/>
    <col min="12" max="12" width="18.5703125" customWidth="1"/>
    <col min="13" max="13" width="19.7109375" customWidth="1"/>
  </cols>
  <sheetData>
    <row r="1" spans="1:18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L1" s="1" t="s">
        <v>6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</row>
    <row r="2" spans="1:18" x14ac:dyDescent="0.25">
      <c r="A2" s="1" t="s">
        <v>7</v>
      </c>
      <c r="B2">
        <v>25</v>
      </c>
      <c r="C2">
        <v>15</v>
      </c>
      <c r="D2">
        <v>11</v>
      </c>
      <c r="E2">
        <v>8</v>
      </c>
      <c r="F2">
        <v>7</v>
      </c>
      <c r="G2">
        <v>11</v>
      </c>
      <c r="H2">
        <f>SUM(B2:G2)</f>
        <v>77</v>
      </c>
      <c r="L2" s="1" t="s">
        <v>7</v>
      </c>
      <c r="M2">
        <v>12</v>
      </c>
      <c r="N2">
        <v>12</v>
      </c>
      <c r="O2">
        <v>12</v>
      </c>
      <c r="P2">
        <v>12</v>
      </c>
      <c r="Q2">
        <v>12</v>
      </c>
      <c r="R2">
        <v>12</v>
      </c>
    </row>
    <row r="3" spans="1:18" x14ac:dyDescent="0.25">
      <c r="A3" s="1" t="s">
        <v>8</v>
      </c>
      <c r="B3">
        <v>280</v>
      </c>
      <c r="C3">
        <v>259</v>
      </c>
      <c r="D3">
        <v>301</v>
      </c>
      <c r="E3">
        <v>230</v>
      </c>
      <c r="F3">
        <v>179</v>
      </c>
      <c r="G3">
        <v>217</v>
      </c>
      <c r="H3">
        <f t="shared" ref="H3:H10" si="0">SUM(B3:G3)</f>
        <v>1466</v>
      </c>
      <c r="L3" s="1" t="s">
        <v>8</v>
      </c>
      <c r="M3">
        <v>244</v>
      </c>
      <c r="N3">
        <v>244</v>
      </c>
      <c r="O3">
        <v>244</v>
      </c>
      <c r="P3">
        <v>244</v>
      </c>
      <c r="Q3">
        <v>244</v>
      </c>
      <c r="R3">
        <v>244</v>
      </c>
    </row>
    <row r="4" spans="1:18" x14ac:dyDescent="0.25">
      <c r="A4" s="1" t="s">
        <v>9</v>
      </c>
      <c r="B4">
        <v>29</v>
      </c>
      <c r="C4">
        <v>35</v>
      </c>
      <c r="D4">
        <v>59</v>
      </c>
      <c r="E4">
        <v>65</v>
      </c>
      <c r="F4">
        <v>69</v>
      </c>
      <c r="G4">
        <v>64</v>
      </c>
      <c r="H4">
        <f t="shared" si="0"/>
        <v>321</v>
      </c>
      <c r="L4" s="1" t="s">
        <v>9</v>
      </c>
      <c r="M4">
        <v>53</v>
      </c>
      <c r="N4">
        <v>53</v>
      </c>
      <c r="O4">
        <v>53</v>
      </c>
      <c r="P4">
        <v>53</v>
      </c>
      <c r="Q4">
        <v>53</v>
      </c>
      <c r="R4">
        <v>53</v>
      </c>
    </row>
    <row r="5" spans="1:18" x14ac:dyDescent="0.25">
      <c r="A5" s="1" t="s">
        <v>10</v>
      </c>
      <c r="B5">
        <v>63</v>
      </c>
      <c r="C5">
        <v>64</v>
      </c>
      <c r="D5">
        <v>65</v>
      </c>
      <c r="E5">
        <v>81</v>
      </c>
      <c r="F5">
        <v>62</v>
      </c>
      <c r="G5">
        <v>59</v>
      </c>
      <c r="H5">
        <f t="shared" si="0"/>
        <v>394</v>
      </c>
      <c r="L5" s="1" t="s">
        <v>10</v>
      </c>
      <c r="M5">
        <v>65</v>
      </c>
      <c r="N5">
        <v>65</v>
      </c>
      <c r="O5">
        <v>65</v>
      </c>
      <c r="P5">
        <v>65</v>
      </c>
      <c r="Q5">
        <v>65</v>
      </c>
      <c r="R5">
        <v>65</v>
      </c>
    </row>
    <row r="6" spans="1:18" x14ac:dyDescent="0.25">
      <c r="A6" s="1" t="s">
        <v>11</v>
      </c>
      <c r="B6">
        <v>12</v>
      </c>
      <c r="C6">
        <v>0</v>
      </c>
      <c r="D6">
        <v>35</v>
      </c>
      <c r="E6">
        <v>0</v>
      </c>
      <c r="F6">
        <v>37</v>
      </c>
      <c r="G6">
        <v>12</v>
      </c>
      <c r="H6">
        <f t="shared" si="0"/>
        <v>96</v>
      </c>
      <c r="L6" s="1" t="s">
        <v>11</v>
      </c>
      <c r="M6">
        <v>16</v>
      </c>
      <c r="N6">
        <v>16</v>
      </c>
      <c r="O6">
        <v>16</v>
      </c>
      <c r="P6">
        <v>16</v>
      </c>
      <c r="Q6">
        <v>16</v>
      </c>
      <c r="R6">
        <v>16</v>
      </c>
    </row>
    <row r="7" spans="1:18" x14ac:dyDescent="0.25">
      <c r="A7" s="1" t="s">
        <v>12</v>
      </c>
      <c r="B7">
        <v>8</v>
      </c>
      <c r="C7">
        <v>7</v>
      </c>
      <c r="D7">
        <v>5</v>
      </c>
      <c r="E7">
        <v>14</v>
      </c>
      <c r="F7">
        <v>9</v>
      </c>
      <c r="G7">
        <v>0</v>
      </c>
      <c r="H7">
        <f t="shared" si="0"/>
        <v>43</v>
      </c>
      <c r="L7" s="1" t="s">
        <v>12</v>
      </c>
      <c r="M7">
        <v>7</v>
      </c>
      <c r="N7">
        <v>7</v>
      </c>
      <c r="O7">
        <v>7</v>
      </c>
      <c r="P7">
        <v>7</v>
      </c>
      <c r="Q7">
        <v>7</v>
      </c>
      <c r="R7">
        <v>7</v>
      </c>
    </row>
    <row r="8" spans="1:18" x14ac:dyDescent="0.25">
      <c r="A8" s="1" t="s">
        <v>13</v>
      </c>
      <c r="B8">
        <v>52</v>
      </c>
      <c r="C8">
        <v>64</v>
      </c>
      <c r="D8">
        <v>40</v>
      </c>
      <c r="E8">
        <v>60</v>
      </c>
      <c r="F8">
        <v>94</v>
      </c>
      <c r="G8">
        <v>47</v>
      </c>
      <c r="H8">
        <f t="shared" si="0"/>
        <v>357</v>
      </c>
      <c r="L8" s="1" t="s">
        <v>13</v>
      </c>
      <c r="M8">
        <v>59</v>
      </c>
      <c r="N8">
        <v>59</v>
      </c>
      <c r="O8">
        <v>59</v>
      </c>
      <c r="P8">
        <v>59</v>
      </c>
      <c r="Q8">
        <v>59</v>
      </c>
      <c r="R8">
        <v>59</v>
      </c>
    </row>
    <row r="9" spans="1:18" x14ac:dyDescent="0.25">
      <c r="A9" s="1" t="s">
        <v>14</v>
      </c>
      <c r="B9">
        <v>127</v>
      </c>
      <c r="C9">
        <v>92</v>
      </c>
      <c r="D9">
        <v>135</v>
      </c>
      <c r="E9">
        <v>119</v>
      </c>
      <c r="F9">
        <v>117</v>
      </c>
      <c r="G9">
        <v>106</v>
      </c>
      <c r="H9">
        <f t="shared" si="0"/>
        <v>696</v>
      </c>
      <c r="L9" s="1" t="s">
        <v>14</v>
      </c>
      <c r="M9">
        <v>116</v>
      </c>
      <c r="N9">
        <v>116</v>
      </c>
      <c r="O9">
        <v>116</v>
      </c>
      <c r="P9">
        <v>116</v>
      </c>
      <c r="Q9">
        <v>116</v>
      </c>
      <c r="R9">
        <v>116</v>
      </c>
    </row>
    <row r="10" spans="1:18" x14ac:dyDescent="0.25">
      <c r="A10" s="1" t="s">
        <v>15</v>
      </c>
      <c r="B10">
        <v>404</v>
      </c>
      <c r="C10">
        <v>464</v>
      </c>
      <c r="D10">
        <v>349</v>
      </c>
      <c r="E10">
        <v>424</v>
      </c>
      <c r="F10">
        <v>425</v>
      </c>
      <c r="G10">
        <v>483</v>
      </c>
      <c r="H10">
        <f t="shared" si="0"/>
        <v>2549</v>
      </c>
      <c r="L10" s="1" t="s">
        <v>15</v>
      </c>
      <c r="M10">
        <v>424</v>
      </c>
      <c r="N10">
        <v>424</v>
      </c>
      <c r="O10">
        <v>424</v>
      </c>
      <c r="P10">
        <v>424</v>
      </c>
      <c r="Q10">
        <v>424</v>
      </c>
      <c r="R10">
        <v>424</v>
      </c>
    </row>
    <row r="11" spans="1:18" x14ac:dyDescent="0.25">
      <c r="B11">
        <f>SUM(B2:B10)</f>
        <v>1000</v>
      </c>
      <c r="C11">
        <f t="shared" ref="C11:H11" si="1">SUM(C2:C10)</f>
        <v>1000</v>
      </c>
      <c r="D11">
        <f t="shared" si="1"/>
        <v>1000</v>
      </c>
      <c r="E11">
        <f t="shared" si="1"/>
        <v>1001</v>
      </c>
      <c r="F11">
        <f t="shared" si="1"/>
        <v>999</v>
      </c>
      <c r="G11">
        <f t="shared" si="1"/>
        <v>999</v>
      </c>
      <c r="H11">
        <f t="shared" si="1"/>
        <v>5999</v>
      </c>
    </row>
    <row r="15" spans="1:18" x14ac:dyDescent="0.25">
      <c r="A15" s="1" t="s">
        <v>6</v>
      </c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</row>
    <row r="16" spans="1:18" x14ac:dyDescent="0.25">
      <c r="A16" s="1" t="s">
        <v>7</v>
      </c>
      <c r="B16">
        <f>(B2-M2)^2/M2</f>
        <v>14.083333333333334</v>
      </c>
      <c r="C16">
        <f t="shared" ref="C16:G24" si="2">(C2-N2)^2/N2</f>
        <v>0.75</v>
      </c>
      <c r="D16">
        <f t="shared" si="2"/>
        <v>8.3333333333333329E-2</v>
      </c>
      <c r="E16">
        <f t="shared" si="2"/>
        <v>1.3333333333333333</v>
      </c>
      <c r="F16">
        <f t="shared" si="2"/>
        <v>2.0833333333333335</v>
      </c>
      <c r="G16">
        <f t="shared" si="2"/>
        <v>8.3333333333333329E-2</v>
      </c>
      <c r="L16" t="s">
        <v>23</v>
      </c>
      <c r="M16">
        <f>SUM(B16:G24)</f>
        <v>257.53931757593273</v>
      </c>
    </row>
    <row r="17" spans="1:14" x14ac:dyDescent="0.25">
      <c r="A17" s="1" t="s">
        <v>8</v>
      </c>
      <c r="B17">
        <f t="shared" ref="B17:B24" si="3">(B3-M3)^2/M3</f>
        <v>5.3114754098360653</v>
      </c>
      <c r="C17">
        <f t="shared" si="2"/>
        <v>0.92213114754098358</v>
      </c>
      <c r="D17">
        <f t="shared" si="2"/>
        <v>13.315573770491802</v>
      </c>
      <c r="E17">
        <f t="shared" si="2"/>
        <v>0.80327868852459017</v>
      </c>
      <c r="F17">
        <f t="shared" si="2"/>
        <v>17.315573770491802</v>
      </c>
      <c r="G17">
        <f t="shared" si="2"/>
        <v>2.987704918032787</v>
      </c>
      <c r="L17" t="s">
        <v>24</v>
      </c>
      <c r="M17">
        <v>40</v>
      </c>
    </row>
    <row r="18" spans="1:14" x14ac:dyDescent="0.25">
      <c r="A18" s="1" t="s">
        <v>9</v>
      </c>
      <c r="B18">
        <f t="shared" si="3"/>
        <v>10.867924528301886</v>
      </c>
      <c r="C18">
        <f t="shared" si="2"/>
        <v>6.1132075471698117</v>
      </c>
      <c r="D18">
        <f t="shared" si="2"/>
        <v>0.67924528301886788</v>
      </c>
      <c r="E18">
        <f t="shared" si="2"/>
        <v>2.7169811320754715</v>
      </c>
      <c r="F18">
        <f t="shared" si="2"/>
        <v>4.8301886792452828</v>
      </c>
      <c r="G18">
        <f t="shared" si="2"/>
        <v>2.2830188679245285</v>
      </c>
      <c r="L18" t="s">
        <v>22</v>
      </c>
      <c r="M18">
        <v>5999</v>
      </c>
    </row>
    <row r="19" spans="1:14" x14ac:dyDescent="0.25">
      <c r="A19" s="1" t="s">
        <v>10</v>
      </c>
      <c r="B19">
        <f t="shared" si="3"/>
        <v>6.1538461538461542E-2</v>
      </c>
      <c r="C19">
        <f t="shared" si="2"/>
        <v>1.5384615384615385E-2</v>
      </c>
      <c r="D19">
        <f t="shared" si="2"/>
        <v>0</v>
      </c>
      <c r="E19">
        <f t="shared" si="2"/>
        <v>3.9384615384615387</v>
      </c>
      <c r="F19">
        <f t="shared" si="2"/>
        <v>0.13846153846153847</v>
      </c>
      <c r="G19">
        <f t="shared" si="2"/>
        <v>0.55384615384615388</v>
      </c>
    </row>
    <row r="20" spans="1:14" x14ac:dyDescent="0.25">
      <c r="A20" s="1" t="s">
        <v>11</v>
      </c>
      <c r="B20">
        <f t="shared" si="3"/>
        <v>1</v>
      </c>
      <c r="C20">
        <f t="shared" si="2"/>
        <v>16</v>
      </c>
      <c r="D20">
        <f t="shared" si="2"/>
        <v>22.5625</v>
      </c>
      <c r="E20">
        <f t="shared" si="2"/>
        <v>16</v>
      </c>
      <c r="F20">
        <f t="shared" si="2"/>
        <v>27.5625</v>
      </c>
      <c r="G20">
        <f t="shared" si="2"/>
        <v>1</v>
      </c>
      <c r="L20" t="s">
        <v>25</v>
      </c>
      <c r="M20">
        <f>M16/M18*5</f>
        <v>0.21465187329215929</v>
      </c>
      <c r="N20">
        <f>SQRT(M20)</f>
        <v>0.4633053780091046</v>
      </c>
    </row>
    <row r="21" spans="1:14" x14ac:dyDescent="0.25">
      <c r="A21" s="1" t="s">
        <v>12</v>
      </c>
      <c r="B21">
        <f t="shared" si="3"/>
        <v>0.14285714285714285</v>
      </c>
      <c r="C21">
        <f t="shared" si="2"/>
        <v>0</v>
      </c>
      <c r="D21">
        <f t="shared" si="2"/>
        <v>0.5714285714285714</v>
      </c>
      <c r="E21">
        <f t="shared" si="2"/>
        <v>7</v>
      </c>
      <c r="F21">
        <f t="shared" si="2"/>
        <v>0.5714285714285714</v>
      </c>
      <c r="G21">
        <f t="shared" si="2"/>
        <v>7</v>
      </c>
    </row>
    <row r="22" spans="1:14" x14ac:dyDescent="0.25">
      <c r="A22" s="1" t="s">
        <v>13</v>
      </c>
      <c r="B22">
        <f t="shared" si="3"/>
        <v>0.83050847457627119</v>
      </c>
      <c r="C22">
        <f t="shared" si="2"/>
        <v>0.42372881355932202</v>
      </c>
      <c r="D22">
        <f t="shared" si="2"/>
        <v>6.1186440677966099</v>
      </c>
      <c r="E22">
        <f t="shared" si="2"/>
        <v>1.6949152542372881E-2</v>
      </c>
      <c r="F22">
        <f t="shared" si="2"/>
        <v>20.762711864406779</v>
      </c>
      <c r="G22">
        <f t="shared" si="2"/>
        <v>2.4406779661016951</v>
      </c>
    </row>
    <row r="23" spans="1:14" x14ac:dyDescent="0.25">
      <c r="A23" s="1" t="s">
        <v>14</v>
      </c>
      <c r="B23">
        <f t="shared" si="3"/>
        <v>1.0431034482758621</v>
      </c>
      <c r="C23">
        <f t="shared" si="2"/>
        <v>4.9655172413793105</v>
      </c>
      <c r="D23">
        <f t="shared" si="2"/>
        <v>3.1120689655172415</v>
      </c>
      <c r="E23">
        <f t="shared" si="2"/>
        <v>7.7586206896551727E-2</v>
      </c>
      <c r="F23">
        <f t="shared" si="2"/>
        <v>8.6206896551724137E-3</v>
      </c>
      <c r="G23">
        <f t="shared" si="2"/>
        <v>0.86206896551724133</v>
      </c>
    </row>
    <row r="24" spans="1:14" x14ac:dyDescent="0.25">
      <c r="A24" s="1" t="s">
        <v>15</v>
      </c>
      <c r="B24">
        <f t="shared" si="3"/>
        <v>0.94339622641509435</v>
      </c>
      <c r="C24">
        <f t="shared" si="2"/>
        <v>3.7735849056603774</v>
      </c>
      <c r="D24">
        <f t="shared" si="2"/>
        <v>13.266509433962264</v>
      </c>
      <c r="E24">
        <f t="shared" si="2"/>
        <v>0</v>
      </c>
      <c r="F24">
        <f t="shared" si="2"/>
        <v>2.3584905660377358E-3</v>
      </c>
      <c r="G24">
        <f t="shared" si="2"/>
        <v>8.209905660377359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B6"/>
  <sheetViews>
    <sheetView workbookViewId="0">
      <selection activeCell="B3" sqref="B3"/>
    </sheetView>
  </sheetViews>
  <sheetFormatPr defaultRowHeight="15" x14ac:dyDescent="0.25"/>
  <cols>
    <col min="2" max="2" width="24.28515625" customWidth="1"/>
  </cols>
  <sheetData>
    <row r="1" spans="1:2" x14ac:dyDescent="0.25">
      <c r="A1" s="1" t="s">
        <v>16</v>
      </c>
      <c r="B1" s="1" t="s">
        <v>17</v>
      </c>
    </row>
    <row r="2" spans="1:2" x14ac:dyDescent="0.25">
      <c r="A2" t="s">
        <v>18</v>
      </c>
      <c r="B2">
        <v>257.53931757593273</v>
      </c>
    </row>
    <row r="3" spans="1:2" x14ac:dyDescent="0.25">
      <c r="A3" t="s">
        <v>19</v>
      </c>
      <c r="B3">
        <v>4.3386955917981808E-33</v>
      </c>
    </row>
    <row r="4" spans="1:2" x14ac:dyDescent="0.25">
      <c r="A4" t="s">
        <v>20</v>
      </c>
      <c r="B4">
        <v>40</v>
      </c>
    </row>
    <row r="5" spans="1:2" x14ac:dyDescent="0.25">
      <c r="A5" t="s">
        <v>21</v>
      </c>
      <c r="B5">
        <v>0.4633053780091046</v>
      </c>
    </row>
    <row r="6" spans="1:2" x14ac:dyDescent="0.25">
      <c r="A6" t="s">
        <v>22</v>
      </c>
      <c r="B6">
        <v>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All_Contingency_Counts</vt:lpstr>
      <vt:lpstr>ChiSquare_All</vt:lpstr>
      <vt:lpstr>Top100_Contingency_Counts</vt:lpstr>
      <vt:lpstr>ChiSquare_Top100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Stylianos Georgilas</cp:lastModifiedBy>
  <dcterms:created xsi:type="dcterms:W3CDTF">2025-10-06T18:39:11Z</dcterms:created>
  <dcterms:modified xsi:type="dcterms:W3CDTF">2026-06-11T06:41:30Z</dcterms:modified>
</cp:coreProperties>
</file>